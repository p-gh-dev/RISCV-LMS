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390285_ads_qub_ac_uk/Documents/Desktop/Lms_work_results/"/>
    </mc:Choice>
  </mc:AlternateContent>
  <xr:revisionPtr revIDLastSave="72" documentId="13_ncr:11_{A6735769-AD64-4DAC-9168-DAAE700B3870}" xr6:coauthVersionLast="47" xr6:coauthVersionMax="47" xr10:uidLastSave="{CFF5F03D-A623-4BD0-8256-DCE3BF37B13A}"/>
  <bookViews>
    <workbookView xWindow="-110" yWindow="-110" windowWidth="19420" windowHeight="11500" xr2:uid="{EE546A3D-10E0-4DBA-B54D-019B53CAB39F}"/>
  </bookViews>
  <sheets>
    <sheet name="performance cycle" sheetId="1" r:id="rId1"/>
    <sheet name="fpga utalis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3" i="1"/>
  <c r="E32" i="1"/>
  <c r="C17" i="1"/>
  <c r="D17" i="1"/>
  <c r="E16" i="1"/>
  <c r="E15" i="1"/>
  <c r="D30" i="1"/>
  <c r="C30" i="1"/>
  <c r="E29" i="1"/>
  <c r="E28" i="1"/>
  <c r="D26" i="1"/>
  <c r="C26" i="1"/>
  <c r="E25" i="1"/>
  <c r="E24" i="1"/>
  <c r="D22" i="1"/>
  <c r="C22" i="1"/>
  <c r="E21" i="1"/>
  <c r="E20" i="1"/>
  <c r="D13" i="1"/>
  <c r="C13" i="1"/>
  <c r="E12" i="1"/>
  <c r="E11" i="1"/>
  <c r="D9" i="1"/>
  <c r="C9" i="1"/>
  <c r="E8" i="1"/>
  <c r="E7" i="1"/>
  <c r="D5" i="1"/>
  <c r="C5" i="1"/>
  <c r="E4" i="1"/>
  <c r="E3" i="1"/>
</calcChain>
</file>

<file path=xl/sharedStrings.xml><?xml version="1.0" encoding="utf-8"?>
<sst xmlns="http://schemas.openxmlformats.org/spreadsheetml/2006/main" count="120" uniqueCount="46">
  <si>
    <t>TREE DETAILS</t>
  </si>
  <si>
    <t>KEYGEN(Cycles)</t>
  </si>
  <si>
    <t>SIGNING (Cycles)</t>
  </si>
  <si>
    <t>RATIO (Keygen/Signing)</t>
  </si>
  <si>
    <t>SIG SIZE(Byte)</t>
  </si>
  <si>
    <t xml:space="preserve">W </t>
  </si>
  <si>
    <t>H=10</t>
  </si>
  <si>
    <t>N=1024</t>
  </si>
  <si>
    <t>NO SHATR</t>
  </si>
  <si>
    <t>W=8</t>
  </si>
  <si>
    <t>HASH_LEN=32</t>
  </si>
  <si>
    <t>SHATR</t>
  </si>
  <si>
    <t>Performance Comp.</t>
  </si>
  <si>
    <t>H=5</t>
  </si>
  <si>
    <t>N=32</t>
  </si>
  <si>
    <t>H=15</t>
  </si>
  <si>
    <t>N=32768</t>
  </si>
  <si>
    <t>H=20</t>
  </si>
  <si>
    <t>N=1048576</t>
  </si>
  <si>
    <t>W=4</t>
  </si>
  <si>
    <t>Other parameters same like code</t>
  </si>
  <si>
    <t>shatr: custom instructon enabled / no shatr:default cpu execution</t>
  </si>
  <si>
    <t>Resources</t>
  </si>
  <si>
    <t>Shatr Implemented Design</t>
  </si>
  <si>
    <t>Base Design without Modification</t>
  </si>
  <si>
    <t>Change Rate (%)</t>
  </si>
  <si>
    <t>FPGA Available Resources</t>
  </si>
  <si>
    <t>Utilization of shatr Design (%)</t>
  </si>
  <si>
    <t>Total LUTs</t>
  </si>
  <si>
    <t>   Logic LUTs</t>
  </si>
  <si>
    <t>   LUT as Memory</t>
  </si>
  <si>
    <t>      -LUT as Distributed RAM</t>
  </si>
  <si>
    <t>      -LUT as Shift Register</t>
  </si>
  <si>
    <t>Slice Registers</t>
  </si>
  <si>
    <t>   Registers as Flip Flop</t>
  </si>
  <si>
    <t>   Registers as Latch</t>
  </si>
  <si>
    <t>   Registers as AND/OR</t>
  </si>
  <si>
    <t>F7 Muxes</t>
  </si>
  <si>
    <t>F8 Muxes</t>
  </si>
  <si>
    <t>Block RAM</t>
  </si>
  <si>
    <t>DSPs</t>
  </si>
  <si>
    <t>Clock Rate (CPU) (MHz)</t>
  </si>
  <si>
    <t>-</t>
  </si>
  <si>
    <t>Power (Dynamic) (W)</t>
  </si>
  <si>
    <t>In fpga side Same validated SHA-3 logic on Cheshire CVA6 used which is validated by NIST tests and program (SOCC 2025 Paper)</t>
  </si>
  <si>
    <t>So for all sha-3 processes we used same instruction however instruction is working as state machine and having multi stage operations. So not take ISVLSI paper as referance if you checked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</si>
</sst>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1" fontId="0" fillId="2" borderId="0" xfId="0" applyNumberFormat="1" applyFill="1"/>
    <xf numFmtId="164" fontId="0" fillId="3" borderId="0" xfId="0" applyNumberFormat="1" applyFill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B910B-56EA-4555-BDC8-B8BF2F420960}">
  <dimension ref="A1:J37"/>
  <sheetViews>
    <sheetView tabSelected="1" workbookViewId="0">
      <selection activeCell="D46" sqref="D46"/>
    </sheetView>
  </sheetViews>
  <sheetFormatPr defaultRowHeight="14.45"/>
  <cols>
    <col min="1" max="1" width="9" customWidth="1"/>
    <col min="2" max="2" width="10.5703125" customWidth="1"/>
    <col min="3" max="3" width="18.28515625" bestFit="1" customWidth="1"/>
    <col min="4" max="4" width="16.140625" bestFit="1" customWidth="1"/>
    <col min="5" max="5" width="22.5703125" bestFit="1" customWidth="1"/>
    <col min="6" max="6" width="10" bestFit="1" customWidth="1"/>
    <col min="7" max="7" width="13.42578125" bestFit="1" customWidth="1"/>
    <col min="8" max="8" width="4.85546875" bestFit="1" customWidth="1"/>
    <col min="9" max="9" width="13.28515625" bestFit="1" customWidth="1"/>
  </cols>
  <sheetData>
    <row r="1" spans="1:10" ht="15" customHeight="1">
      <c r="A1" s="9" t="s">
        <v>0</v>
      </c>
      <c r="B1" s="1"/>
      <c r="C1" s="9" t="s">
        <v>1</v>
      </c>
      <c r="D1" s="9" t="s">
        <v>2</v>
      </c>
      <c r="E1" s="9" t="s">
        <v>3</v>
      </c>
      <c r="F1" s="1"/>
      <c r="G1" s="9" t="s">
        <v>4</v>
      </c>
      <c r="J1" s="2"/>
    </row>
    <row r="2" spans="1:10">
      <c r="A2" s="9"/>
      <c r="B2" s="1"/>
      <c r="C2" s="9"/>
      <c r="D2" s="9"/>
      <c r="E2" s="9"/>
      <c r="F2" s="1"/>
      <c r="G2" s="9"/>
      <c r="H2" t="s">
        <v>5</v>
      </c>
      <c r="J2" s="2"/>
    </row>
    <row r="3" spans="1:10">
      <c r="A3" t="s">
        <v>6</v>
      </c>
      <c r="B3" t="s">
        <v>7</v>
      </c>
      <c r="C3" s="6">
        <v>33893235792</v>
      </c>
      <c r="D3">
        <v>15916938</v>
      </c>
      <c r="E3">
        <f>C3/D3</f>
        <v>2129.3816556928223</v>
      </c>
      <c r="F3" t="s">
        <v>8</v>
      </c>
      <c r="G3">
        <v>3204</v>
      </c>
      <c r="H3" t="s">
        <v>9</v>
      </c>
      <c r="I3" t="s">
        <v>10</v>
      </c>
      <c r="J3" s="2"/>
    </row>
    <row r="4" spans="1:10">
      <c r="A4" t="s">
        <v>6</v>
      </c>
      <c r="B4" t="s">
        <v>7</v>
      </c>
      <c r="C4" s="6">
        <v>1175192969</v>
      </c>
      <c r="D4">
        <v>563712</v>
      </c>
      <c r="E4">
        <f>C4/D4</f>
        <v>2084.7400250482515</v>
      </c>
      <c r="F4" t="s">
        <v>11</v>
      </c>
      <c r="G4">
        <v>3204</v>
      </c>
      <c r="H4" t="s">
        <v>9</v>
      </c>
      <c r="I4" t="s">
        <v>10</v>
      </c>
      <c r="J4" s="2"/>
    </row>
    <row r="5" spans="1:10">
      <c r="A5" s="11" t="s">
        <v>12</v>
      </c>
      <c r="B5" s="11"/>
      <c r="C5" s="8">
        <f>C3/C4</f>
        <v>28.840570600792965</v>
      </c>
      <c r="D5" s="3">
        <f>D3/D4</f>
        <v>28.235939628746593</v>
      </c>
      <c r="E5" s="3"/>
      <c r="F5" s="3"/>
      <c r="G5" s="3"/>
      <c r="H5" s="3"/>
      <c r="I5" s="3"/>
      <c r="J5" s="2"/>
    </row>
    <row r="6" spans="1:10">
      <c r="C6" s="6"/>
      <c r="J6" s="2"/>
    </row>
    <row r="7" spans="1:10">
      <c r="A7" t="s">
        <v>13</v>
      </c>
      <c r="B7" t="s">
        <v>14</v>
      </c>
      <c r="C7" s="6">
        <v>1061925630</v>
      </c>
      <c r="D7">
        <v>15958036</v>
      </c>
      <c r="E7">
        <f>C7/D7</f>
        <v>66.544882465486353</v>
      </c>
      <c r="F7" t="s">
        <v>8</v>
      </c>
      <c r="G7">
        <v>3044</v>
      </c>
      <c r="H7" t="s">
        <v>9</v>
      </c>
      <c r="I7" t="s">
        <v>10</v>
      </c>
      <c r="J7" s="2"/>
    </row>
    <row r="8" spans="1:10">
      <c r="A8" t="s">
        <v>13</v>
      </c>
      <c r="B8" t="s">
        <v>14</v>
      </c>
      <c r="C8" s="6">
        <v>36645800</v>
      </c>
      <c r="D8">
        <v>562610</v>
      </c>
      <c r="E8">
        <f>C8/D8</f>
        <v>65.135351309077336</v>
      </c>
      <c r="F8" t="s">
        <v>11</v>
      </c>
      <c r="G8">
        <v>3044</v>
      </c>
      <c r="H8" t="s">
        <v>9</v>
      </c>
      <c r="I8" t="s">
        <v>10</v>
      </c>
      <c r="J8" s="2"/>
    </row>
    <row r="9" spans="1:10">
      <c r="A9" s="11" t="s">
        <v>12</v>
      </c>
      <c r="B9" s="11"/>
      <c r="C9" s="8">
        <f>C7/C8</f>
        <v>28.978099263762832</v>
      </c>
      <c r="D9" s="3">
        <f>D7/D8</f>
        <v>28.364294982314568</v>
      </c>
      <c r="E9" s="3"/>
      <c r="F9" s="3"/>
      <c r="G9" s="3"/>
      <c r="H9" s="3"/>
      <c r="I9" s="3"/>
      <c r="J9" s="2"/>
    </row>
    <row r="10" spans="1:10">
      <c r="C10" s="6"/>
      <c r="J10" s="2"/>
    </row>
    <row r="11" spans="1:10">
      <c r="A11" t="s">
        <v>15</v>
      </c>
      <c r="B11" t="s">
        <v>16</v>
      </c>
      <c r="C11" s="6">
        <v>1084590443783</v>
      </c>
      <c r="D11">
        <v>15918949</v>
      </c>
      <c r="E11">
        <f>C11/D11</f>
        <v>68132.038351464027</v>
      </c>
      <c r="F11" t="s">
        <v>8</v>
      </c>
      <c r="G11">
        <v>3364</v>
      </c>
      <c r="H11" t="s">
        <v>9</v>
      </c>
      <c r="I11" t="s">
        <v>10</v>
      </c>
      <c r="J11" s="2"/>
    </row>
    <row r="12" spans="1:10">
      <c r="A12" t="s">
        <v>15</v>
      </c>
      <c r="B12" t="s">
        <v>16</v>
      </c>
      <c r="C12" s="6">
        <v>37608371351</v>
      </c>
      <c r="D12">
        <v>565060</v>
      </c>
      <c r="E12">
        <f>C12/D12</f>
        <v>66556.421178281948</v>
      </c>
      <c r="F12" t="s">
        <v>11</v>
      </c>
      <c r="G12">
        <v>3364</v>
      </c>
      <c r="H12" t="s">
        <v>9</v>
      </c>
      <c r="I12" t="s">
        <v>10</v>
      </c>
      <c r="J12" s="2"/>
    </row>
    <row r="13" spans="1:10">
      <c r="A13" s="11" t="s">
        <v>12</v>
      </c>
      <c r="B13" s="11"/>
      <c r="C13" s="8">
        <f>C11/C12</f>
        <v>28.839069728930468</v>
      </c>
      <c r="D13" s="3">
        <f>D11/D12</f>
        <v>28.172139241850424</v>
      </c>
      <c r="E13" s="3"/>
      <c r="F13" s="3"/>
      <c r="G13" s="3"/>
      <c r="H13" s="3"/>
      <c r="I13" s="3"/>
      <c r="J13" s="2"/>
    </row>
    <row r="14" spans="1:10">
      <c r="C14" s="6"/>
      <c r="J14" s="2"/>
    </row>
    <row r="15" spans="1:10">
      <c r="A15" t="s">
        <v>17</v>
      </c>
      <c r="B15" t="s">
        <v>18</v>
      </c>
      <c r="C15" s="6">
        <v>34704311252584</v>
      </c>
      <c r="D15">
        <v>15918073</v>
      </c>
      <c r="E15">
        <f>C15/D15</f>
        <v>2180182.9437887361</v>
      </c>
      <c r="F15" t="s">
        <v>8</v>
      </c>
      <c r="G15">
        <v>3524</v>
      </c>
      <c r="H15" t="s">
        <v>9</v>
      </c>
      <c r="I15" t="s">
        <v>10</v>
      </c>
      <c r="J15" s="2"/>
    </row>
    <row r="16" spans="1:10">
      <c r="A16" t="s">
        <v>17</v>
      </c>
      <c r="B16" t="s">
        <v>18</v>
      </c>
      <c r="C16" s="6">
        <v>1197904584040</v>
      </c>
      <c r="D16">
        <v>565940</v>
      </c>
      <c r="E16">
        <f>C16/D16</f>
        <v>2116663.57571474</v>
      </c>
      <c r="F16" t="s">
        <v>11</v>
      </c>
      <c r="G16">
        <v>3524</v>
      </c>
      <c r="H16" t="s">
        <v>9</v>
      </c>
      <c r="I16" t="s">
        <v>10</v>
      </c>
      <c r="J16" s="2"/>
    </row>
    <row r="17" spans="1:10">
      <c r="A17" s="11" t="s">
        <v>12</v>
      </c>
      <c r="B17" s="11"/>
      <c r="C17" s="8">
        <f>C15/C16</f>
        <v>28.970847691008725</v>
      </c>
      <c r="D17" s="3">
        <f>D15/D16</f>
        <v>28.12678552496731</v>
      </c>
      <c r="E17" s="3"/>
      <c r="F17" s="3"/>
      <c r="G17" s="3"/>
      <c r="H17" s="3"/>
      <c r="I17" s="3"/>
      <c r="J17" s="2"/>
    </row>
    <row r="18" spans="1:10">
      <c r="A18" s="2"/>
      <c r="B18" s="2"/>
      <c r="C18" s="7"/>
      <c r="D18" s="2"/>
      <c r="E18" s="2"/>
      <c r="F18" s="2"/>
      <c r="G18" s="2"/>
      <c r="H18" s="2"/>
      <c r="I18" s="2"/>
      <c r="J18" s="2"/>
    </row>
    <row r="19" spans="1:10">
      <c r="C19" s="6"/>
      <c r="J19" s="2"/>
    </row>
    <row r="20" spans="1:10">
      <c r="A20" t="s">
        <v>13</v>
      </c>
      <c r="B20" t="s">
        <v>14</v>
      </c>
      <c r="C20" s="6">
        <v>546902354</v>
      </c>
      <c r="D20">
        <v>10355727</v>
      </c>
      <c r="E20">
        <f>C20/D20</f>
        <v>52.81158473953591</v>
      </c>
      <c r="F20" t="s">
        <v>8</v>
      </c>
      <c r="G20">
        <v>3044</v>
      </c>
      <c r="H20" t="s">
        <v>19</v>
      </c>
      <c r="I20" t="s">
        <v>10</v>
      </c>
      <c r="J20" s="2"/>
    </row>
    <row r="21" spans="1:10">
      <c r="A21" t="s">
        <v>13</v>
      </c>
      <c r="B21" t="s">
        <v>14</v>
      </c>
      <c r="C21" s="6">
        <v>19757573</v>
      </c>
      <c r="D21">
        <v>378712</v>
      </c>
      <c r="E21">
        <f>C21/D21</f>
        <v>52.170443503242566</v>
      </c>
      <c r="F21" t="s">
        <v>11</v>
      </c>
      <c r="G21">
        <v>3044</v>
      </c>
      <c r="H21" t="s">
        <v>19</v>
      </c>
      <c r="I21" t="s">
        <v>10</v>
      </c>
      <c r="J21" s="2"/>
    </row>
    <row r="22" spans="1:10">
      <c r="A22" s="11" t="s">
        <v>12</v>
      </c>
      <c r="B22" s="11"/>
      <c r="C22" s="8">
        <f>C20/C21</f>
        <v>27.680644479967253</v>
      </c>
      <c r="D22" s="3">
        <f>D20/D21</f>
        <v>27.344596949660957</v>
      </c>
      <c r="E22" s="3"/>
      <c r="F22" s="3"/>
      <c r="G22" s="3"/>
      <c r="H22" s="3"/>
      <c r="I22" s="3"/>
      <c r="J22" s="2"/>
    </row>
    <row r="23" spans="1:10">
      <c r="C23" s="6"/>
      <c r="J23" s="2"/>
    </row>
    <row r="24" spans="1:10">
      <c r="A24" t="s">
        <v>6</v>
      </c>
      <c r="B24" t="s">
        <v>7</v>
      </c>
      <c r="C24" s="6">
        <v>17499082070</v>
      </c>
      <c r="D24">
        <v>10357800</v>
      </c>
      <c r="E24">
        <f>C24/D24</f>
        <v>1689.4593514066694</v>
      </c>
      <c r="F24" t="s">
        <v>8</v>
      </c>
      <c r="G24">
        <v>3204</v>
      </c>
      <c r="H24" t="s">
        <v>19</v>
      </c>
      <c r="I24" t="s">
        <v>10</v>
      </c>
      <c r="J24" s="2"/>
    </row>
    <row r="25" spans="1:10">
      <c r="A25" t="s">
        <v>6</v>
      </c>
      <c r="B25" t="s">
        <v>7</v>
      </c>
      <c r="C25" s="6">
        <v>635134154</v>
      </c>
      <c r="D25">
        <v>379980</v>
      </c>
      <c r="E25">
        <f>C25/D25</f>
        <v>1671.4936417706194</v>
      </c>
      <c r="F25" t="s">
        <v>11</v>
      </c>
      <c r="G25">
        <v>3204</v>
      </c>
      <c r="H25" t="s">
        <v>19</v>
      </c>
      <c r="I25" t="s">
        <v>10</v>
      </c>
      <c r="J25" s="2"/>
    </row>
    <row r="26" spans="1:10">
      <c r="A26" s="11" t="s">
        <v>12</v>
      </c>
      <c r="B26" s="11"/>
      <c r="C26" s="8">
        <f>C24/C25</f>
        <v>27.551788798937743</v>
      </c>
      <c r="D26" s="3">
        <f>D24/D25</f>
        <v>27.258803094899733</v>
      </c>
      <c r="E26" s="3"/>
      <c r="F26" s="3"/>
      <c r="G26" s="3"/>
      <c r="H26" s="3"/>
      <c r="I26" s="3"/>
      <c r="J26" s="2"/>
    </row>
    <row r="27" spans="1:10">
      <c r="C27" s="6"/>
      <c r="J27" s="2"/>
    </row>
    <row r="28" spans="1:10">
      <c r="A28" t="s">
        <v>15</v>
      </c>
      <c r="B28" t="s">
        <v>16</v>
      </c>
      <c r="C28" s="6">
        <v>559955368485</v>
      </c>
      <c r="D28">
        <v>10359387</v>
      </c>
      <c r="E28">
        <f>C28/D28</f>
        <v>54052.944299213843</v>
      </c>
      <c r="F28" t="s">
        <v>8</v>
      </c>
      <c r="G28">
        <v>3364</v>
      </c>
      <c r="H28" t="s">
        <v>19</v>
      </c>
      <c r="I28" t="s">
        <v>10</v>
      </c>
      <c r="J28" s="2"/>
    </row>
    <row r="29" spans="1:10">
      <c r="A29" t="s">
        <v>15</v>
      </c>
      <c r="B29" t="s">
        <v>16</v>
      </c>
      <c r="C29" s="6">
        <v>20326535241</v>
      </c>
      <c r="D29">
        <v>381658</v>
      </c>
      <c r="E29">
        <f>C29/D29</f>
        <v>53258.506938148814</v>
      </c>
      <c r="F29" t="s">
        <v>11</v>
      </c>
      <c r="G29">
        <v>3364</v>
      </c>
      <c r="H29" t="s">
        <v>19</v>
      </c>
      <c r="I29" t="s">
        <v>10</v>
      </c>
      <c r="J29" s="2"/>
    </row>
    <row r="30" spans="1:10">
      <c r="A30" s="11" t="s">
        <v>12</v>
      </c>
      <c r="B30" s="11"/>
      <c r="C30" s="8">
        <f>C28/C29</f>
        <v>27.547998802842308</v>
      </c>
      <c r="D30" s="3">
        <f>D28/D29</f>
        <v>27.143115040166851</v>
      </c>
      <c r="E30" s="3"/>
      <c r="F30" s="3"/>
      <c r="G30" s="3"/>
      <c r="H30" s="3"/>
      <c r="I30" s="3"/>
      <c r="J30" s="2"/>
    </row>
    <row r="31" spans="1:10">
      <c r="C31" s="6"/>
      <c r="J31" s="2"/>
    </row>
    <row r="32" spans="1:10">
      <c r="A32" t="s">
        <v>17</v>
      </c>
      <c r="B32" t="s">
        <v>18</v>
      </c>
      <c r="C32" s="6">
        <v>17916324726893</v>
      </c>
      <c r="D32">
        <v>10358429</v>
      </c>
      <c r="E32">
        <f>C32/D32</f>
        <v>1729637.2574347905</v>
      </c>
      <c r="F32" t="s">
        <v>8</v>
      </c>
      <c r="G32">
        <v>3524</v>
      </c>
      <c r="H32" t="s">
        <v>19</v>
      </c>
      <c r="I32" t="s">
        <v>10</v>
      </c>
      <c r="J32" s="2"/>
    </row>
    <row r="33" spans="1:10">
      <c r="A33" t="s">
        <v>17</v>
      </c>
      <c r="B33" t="s">
        <v>18</v>
      </c>
      <c r="C33" s="6">
        <v>647598865331</v>
      </c>
      <c r="D33">
        <v>380674</v>
      </c>
      <c r="E33">
        <f>C33/D33</f>
        <v>1701190.1662078314</v>
      </c>
      <c r="F33" t="s">
        <v>11</v>
      </c>
      <c r="G33">
        <v>3524</v>
      </c>
      <c r="H33" t="s">
        <v>19</v>
      </c>
      <c r="I33" t="s">
        <v>10</v>
      </c>
      <c r="J33" s="2"/>
    </row>
    <row r="34" spans="1:10">
      <c r="A34" s="11" t="s">
        <v>12</v>
      </c>
      <c r="B34" s="11"/>
      <c r="C34" s="8">
        <f>C32/C33</f>
        <v>27.665775352672412</v>
      </c>
      <c r="D34" s="3">
        <f>D32/D33</f>
        <v>27.210760388153645</v>
      </c>
      <c r="E34" s="3"/>
      <c r="F34" s="3"/>
      <c r="G34" s="3"/>
      <c r="H34" s="3"/>
      <c r="I34" s="3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10" t="s">
        <v>20</v>
      </c>
      <c r="B36" s="10"/>
      <c r="C36" s="10"/>
      <c r="D36" s="10"/>
      <c r="E36" s="10"/>
      <c r="F36" s="10"/>
      <c r="G36" s="10"/>
      <c r="H36" s="10"/>
      <c r="I36" s="10"/>
      <c r="J36" s="10"/>
    </row>
    <row r="37" spans="1:10">
      <c r="A37" s="10" t="s">
        <v>21</v>
      </c>
      <c r="B37" s="10"/>
      <c r="C37" s="10"/>
      <c r="D37" s="10"/>
      <c r="E37" s="10"/>
      <c r="F37" s="10"/>
      <c r="G37" s="10"/>
      <c r="H37" s="10"/>
      <c r="I37" s="10"/>
      <c r="J37" s="10"/>
    </row>
  </sheetData>
  <mergeCells count="15">
    <mergeCell ref="G1:G2"/>
    <mergeCell ref="A37:J37"/>
    <mergeCell ref="A9:B9"/>
    <mergeCell ref="A13:B13"/>
    <mergeCell ref="A22:B22"/>
    <mergeCell ref="A26:B26"/>
    <mergeCell ref="A30:B30"/>
    <mergeCell ref="A36:J36"/>
    <mergeCell ref="A5:B5"/>
    <mergeCell ref="A1:A2"/>
    <mergeCell ref="C1:C2"/>
    <mergeCell ref="D1:D2"/>
    <mergeCell ref="E1:E2"/>
    <mergeCell ref="A17:B17"/>
    <mergeCell ref="A34:B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E80A-D723-4206-A366-E46D8D7F37AD}">
  <dimension ref="A1:F19"/>
  <sheetViews>
    <sheetView zoomScale="145" zoomScaleNormal="145" workbookViewId="0">
      <selection activeCell="A18" sqref="A18:F18"/>
    </sheetView>
  </sheetViews>
  <sheetFormatPr defaultColWidth="24.5703125" defaultRowHeight="14.45"/>
  <cols>
    <col min="1" max="1" width="22.7109375" bestFit="1" customWidth="1"/>
    <col min="2" max="2" width="23.42578125" bestFit="1" customWidth="1"/>
    <col min="3" max="3" width="18" bestFit="1" customWidth="1"/>
    <col min="4" max="4" width="15" bestFit="1" customWidth="1"/>
    <col min="5" max="6" width="22.85546875" bestFit="1" customWidth="1"/>
  </cols>
  <sheetData>
    <row r="1" spans="1:6" ht="27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6">
      <c r="A2" s="5" t="s">
        <v>28</v>
      </c>
      <c r="B2" s="5">
        <v>138637</v>
      </c>
      <c r="C2" s="5">
        <v>134237</v>
      </c>
      <c r="D2" s="5">
        <v>3.278</v>
      </c>
      <c r="E2" s="5">
        <v>203800</v>
      </c>
      <c r="F2" s="5">
        <v>68.03</v>
      </c>
    </row>
    <row r="3" spans="1:6">
      <c r="A3" s="5" t="s">
        <v>29</v>
      </c>
      <c r="B3" s="5">
        <v>136868</v>
      </c>
      <c r="C3" s="5">
        <v>132500</v>
      </c>
      <c r="D3" s="5">
        <v>3.2970000000000002</v>
      </c>
      <c r="E3" s="5"/>
      <c r="F3" s="5"/>
    </row>
    <row r="4" spans="1:6">
      <c r="A4" s="5" t="s">
        <v>30</v>
      </c>
      <c r="B4" s="5">
        <v>1769</v>
      </c>
      <c r="C4" s="5">
        <v>1737</v>
      </c>
      <c r="D4" s="5">
        <v>1.8420000000000001</v>
      </c>
      <c r="E4" s="5"/>
      <c r="F4" s="5"/>
    </row>
    <row r="5" spans="1:6">
      <c r="A5" s="5" t="s">
        <v>31</v>
      </c>
      <c r="B5" s="5">
        <v>1004</v>
      </c>
      <c r="C5" s="5">
        <v>972</v>
      </c>
      <c r="D5" s="5">
        <v>3.2919999999999998</v>
      </c>
      <c r="E5" s="5"/>
      <c r="F5" s="5"/>
    </row>
    <row r="6" spans="1:6">
      <c r="A6" s="5" t="s">
        <v>32</v>
      </c>
      <c r="B6" s="5">
        <v>765</v>
      </c>
      <c r="C6" s="5">
        <v>765</v>
      </c>
      <c r="D6" s="5">
        <v>0</v>
      </c>
      <c r="E6" s="5"/>
      <c r="F6" s="5"/>
    </row>
    <row r="7" spans="1:6">
      <c r="A7" s="5" t="s">
        <v>33</v>
      </c>
      <c r="B7" s="5">
        <v>112031</v>
      </c>
      <c r="C7" s="5">
        <v>110341</v>
      </c>
      <c r="D7" s="5">
        <v>1.532</v>
      </c>
      <c r="E7" s="5">
        <v>407600</v>
      </c>
      <c r="F7" s="5">
        <v>27.49</v>
      </c>
    </row>
    <row r="8" spans="1:6">
      <c r="A8" s="5" t="s">
        <v>34</v>
      </c>
      <c r="B8" s="5">
        <v>112017</v>
      </c>
      <c r="C8" s="5">
        <v>110327</v>
      </c>
      <c r="D8" s="5">
        <v>1.532</v>
      </c>
      <c r="E8" s="5"/>
      <c r="F8" s="5"/>
    </row>
    <row r="9" spans="1:6">
      <c r="A9" s="5" t="s">
        <v>35</v>
      </c>
      <c r="B9" s="5">
        <v>0</v>
      </c>
      <c r="C9" s="5">
        <v>0</v>
      </c>
      <c r="D9" s="5">
        <v>0</v>
      </c>
      <c r="E9" s="5"/>
      <c r="F9" s="5"/>
    </row>
    <row r="10" spans="1:6">
      <c r="A10" s="5" t="s">
        <v>36</v>
      </c>
      <c r="B10" s="5">
        <v>14</v>
      </c>
      <c r="C10" s="5">
        <v>14</v>
      </c>
      <c r="D10" s="5">
        <v>0</v>
      </c>
      <c r="E10" s="5"/>
      <c r="F10" s="5"/>
    </row>
    <row r="11" spans="1:6">
      <c r="A11" s="5" t="s">
        <v>37</v>
      </c>
      <c r="B11" s="5">
        <v>7589</v>
      </c>
      <c r="C11" s="5">
        <v>7582</v>
      </c>
      <c r="D11" s="5">
        <v>9.1999999999999998E-2</v>
      </c>
      <c r="E11" s="5">
        <v>101900</v>
      </c>
      <c r="F11" s="5">
        <v>7.45</v>
      </c>
    </row>
    <row r="12" spans="1:6">
      <c r="A12" s="5" t="s">
        <v>38</v>
      </c>
      <c r="B12" s="5">
        <v>1386</v>
      </c>
      <c r="C12" s="5">
        <v>1372</v>
      </c>
      <c r="D12" s="5">
        <v>1.02</v>
      </c>
      <c r="E12" s="5">
        <v>50950</v>
      </c>
      <c r="F12" s="5">
        <v>2.72</v>
      </c>
    </row>
    <row r="13" spans="1:6">
      <c r="A13" s="5" t="s">
        <v>39</v>
      </c>
      <c r="B13" s="5">
        <v>148</v>
      </c>
      <c r="C13" s="5">
        <v>148</v>
      </c>
      <c r="D13" s="5">
        <v>0</v>
      </c>
      <c r="E13" s="5">
        <v>445</v>
      </c>
      <c r="F13" s="5">
        <v>33.26</v>
      </c>
    </row>
    <row r="14" spans="1:6">
      <c r="A14" s="5" t="s">
        <v>40</v>
      </c>
      <c r="B14" s="5">
        <v>27</v>
      </c>
      <c r="C14" s="5">
        <v>27</v>
      </c>
      <c r="D14" s="5">
        <v>0</v>
      </c>
      <c r="E14" s="5">
        <v>840</v>
      </c>
      <c r="F14" s="5">
        <v>3.21</v>
      </c>
    </row>
    <row r="15" spans="1:6">
      <c r="A15" s="5" t="s">
        <v>41</v>
      </c>
      <c r="B15" s="5">
        <v>50</v>
      </c>
      <c r="C15" s="5">
        <v>50</v>
      </c>
      <c r="D15" s="5" t="s">
        <v>42</v>
      </c>
      <c r="E15" s="5"/>
      <c r="F15" s="5"/>
    </row>
    <row r="16" spans="1:6">
      <c r="A16" s="5" t="s">
        <v>43</v>
      </c>
      <c r="B16" s="5">
        <v>2.3660000000000001</v>
      </c>
      <c r="C16" s="5">
        <v>2.3420000000000001</v>
      </c>
      <c r="D16" s="5">
        <v>1.0249999999999999</v>
      </c>
      <c r="E16" s="5"/>
      <c r="F16" s="5"/>
    </row>
    <row r="18" spans="1:6">
      <c r="A18" s="10" t="s">
        <v>44</v>
      </c>
      <c r="B18" s="10"/>
      <c r="C18" s="10"/>
      <c r="D18" s="10"/>
      <c r="E18" s="10"/>
      <c r="F18" s="10"/>
    </row>
    <row r="19" spans="1:6" ht="44.25" customHeight="1">
      <c r="A19" s="9" t="s">
        <v>45</v>
      </c>
      <c r="B19" s="9"/>
      <c r="C19" s="9"/>
      <c r="D19" s="9"/>
      <c r="E19" s="9"/>
      <c r="F19" s="9"/>
    </row>
  </sheetData>
  <mergeCells count="2">
    <mergeCell ref="A18:F18"/>
    <mergeCell ref="A19:F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eaef92-a7cf-44b3-8805-094f9110176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EC8210C7A0114DA4EA2EE26ABAC904" ma:contentTypeVersion="15" ma:contentTypeDescription="Create a new document." ma:contentTypeScope="" ma:versionID="02bf450ff1cb914d61a8b3d781f40f02">
  <xsd:schema xmlns:xsd="http://www.w3.org/2001/XMLSchema" xmlns:xs="http://www.w3.org/2001/XMLSchema" xmlns:p="http://schemas.microsoft.com/office/2006/metadata/properties" xmlns:ns3="2aeaef92-a7cf-44b3-8805-094f9110176c" xmlns:ns4="a6f0b2f4-614d-45de-b9f2-58fce3b500e4" targetNamespace="http://schemas.microsoft.com/office/2006/metadata/properties" ma:root="true" ma:fieldsID="ecf721d65e15a2f6471193fb2037da1e" ns3:_="" ns4:_="">
    <xsd:import namespace="2aeaef92-a7cf-44b3-8805-094f9110176c"/>
    <xsd:import namespace="a6f0b2f4-614d-45de-b9f2-58fce3b500e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aef92-a7cf-44b3-8805-094f91101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0b2f4-614d-45de-b9f2-58fce3b500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CA6B12-D9FD-4CCD-9C14-59396EE8372A}"/>
</file>

<file path=customXml/itemProps2.xml><?xml version="1.0" encoding="utf-8"?>
<ds:datastoreItem xmlns:ds="http://schemas.openxmlformats.org/officeDocument/2006/customXml" ds:itemID="{19DE3809-BBDC-4D69-85B6-843C0F602B59}"/>
</file>

<file path=customXml/itemProps3.xml><?xml version="1.0" encoding="utf-8"?>
<ds:datastoreItem xmlns:ds="http://schemas.openxmlformats.org/officeDocument/2006/customXml" ds:itemID="{E2E03E00-EB2B-4709-9E3B-604D072B9DDE}"/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ECIT Institute QUB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Alperen Bolat</dc:creator>
  <cp:keywords/>
  <dc:description/>
  <cp:lastModifiedBy>Alperen Bolat</cp:lastModifiedBy>
  <cp:revision/>
  <dcterms:created xsi:type="dcterms:W3CDTF">2025-10-29T16:11:59Z</dcterms:created>
  <dcterms:modified xsi:type="dcterms:W3CDTF">2025-11-19T12:46:39Z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0x0101006FEC8210C7A0114DA4EA2EE26ABAC904</vt:lpwstr>
  </property>
</Properties>
</file>